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D035E9A7-A203-4F6E-90B2-5BDC6E8F9DDC}" xr6:coauthVersionLast="47" xr6:coauthVersionMax="47" xr10:uidLastSave="{00000000-0000-0000-0000-000000000000}"/>
  <bookViews>
    <workbookView xWindow="-120" yWindow="-120" windowWidth="20730" windowHeight="11160" firstSheet="1" activeTab="3" xr2:uid="{AA3C1E50-38F1-6644-B051-514CE6CAA6A2}"/>
  </bookViews>
  <sheets>
    <sheet name="Cover Page" sheetId="7" r:id="rId1"/>
    <sheet name="Analysis" sheetId="8" r:id="rId2"/>
    <sheet name="Data" sheetId="1" r:id="rId3"/>
    <sheet name="Dashboard" sheetId="6" r:id="rId4"/>
  </sheets>
  <definedNames>
    <definedName name="Slicer_Region">#N/A</definedName>
  </definedNames>
  <calcPr calcId="181029"/>
  <pivotCaches>
    <pivotCache cacheId="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5" i="6" l="1"/>
  <c r="J15" i="6"/>
  <c r="K15" i="6"/>
  <c r="L15" i="6"/>
  <c r="I16" i="6"/>
  <c r="J16" i="6"/>
  <c r="K16" i="6"/>
  <c r="L16" i="6"/>
  <c r="I17" i="6"/>
  <c r="J17" i="6"/>
  <c r="K17" i="6"/>
  <c r="L17" i="6"/>
  <c r="I18" i="6"/>
  <c r="J18" i="6"/>
  <c r="K18" i="6"/>
  <c r="L18" i="6"/>
  <c r="I19" i="6"/>
  <c r="J19" i="6"/>
  <c r="K19" i="6"/>
  <c r="L19" i="6"/>
  <c r="J14" i="6"/>
  <c r="K14" i="6"/>
  <c r="L14" i="6"/>
  <c r="I14" i="6"/>
  <c r="C15" i="6"/>
  <c r="C14" i="6"/>
  <c r="J20" i="6"/>
  <c r="K20" i="6"/>
  <c r="L20" i="6"/>
  <c r="D20" i="6"/>
  <c r="D15" i="6"/>
  <c r="E15" i="6"/>
  <c r="C16" i="6"/>
  <c r="D16" i="6"/>
  <c r="E16" i="6"/>
  <c r="C17" i="6"/>
  <c r="D17" i="6"/>
  <c r="E17" i="6"/>
  <c r="C18" i="6"/>
  <c r="D18" i="6"/>
  <c r="E18" i="6"/>
  <c r="C19" i="6"/>
  <c r="D19" i="6"/>
  <c r="E19" i="6"/>
  <c r="E20" i="6"/>
  <c r="D14" i="6"/>
  <c r="E14" i="6"/>
  <c r="F22" i="8"/>
  <c r="F24" i="8"/>
  <c r="F20" i="8"/>
  <c r="G20" i="8"/>
  <c r="H20" i="8"/>
  <c r="F21" i="8"/>
  <c r="G21" i="8"/>
  <c r="H21" i="8"/>
  <c r="G22" i="8"/>
  <c r="H22" i="8"/>
  <c r="E23" i="8"/>
  <c r="F23" i="8"/>
  <c r="G23" i="8"/>
  <c r="H23" i="8"/>
  <c r="G24" i="8"/>
  <c r="H24" i="8"/>
  <c r="F25" i="8"/>
  <c r="G25" i="8"/>
  <c r="H25" i="8"/>
  <c r="F26" i="8"/>
  <c r="G26" i="8"/>
  <c r="H26" i="8"/>
  <c r="F19" i="8"/>
  <c r="G19" i="8"/>
  <c r="H19" i="8"/>
  <c r="E19" i="8"/>
  <c r="F14" i="6" l="1"/>
  <c r="F16" i="6"/>
  <c r="F20" i="6"/>
  <c r="F18" i="6"/>
  <c r="F17" i="6"/>
  <c r="F19" i="6"/>
  <c r="F15" i="6"/>
</calcChain>
</file>

<file path=xl/sharedStrings.xml><?xml version="1.0" encoding="utf-8"?>
<sst xmlns="http://schemas.openxmlformats.org/spreadsheetml/2006/main" count="48318" uniqueCount="163">
  <si>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</si>
  <si>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</si>
  <si>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</si>
  <si>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</si>
  <si>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</si>
  <si>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</si>
  <si>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</si>
  <si>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</si>
  <si>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</si>
  <si>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</si>
  <si>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</si>
  <si>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</si>
  <si>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</si>
  <si>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</si>
  <si>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</si>
  <si>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</si>
  <si>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</si>
  <si>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</si>
  <si>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</si>
  <si>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</si>
  <si>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</si>
  <si>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</si>
  <si>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</si>
  <si>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</si>
  <si>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</si>
  <si>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</si>
  <si>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</si>
  <si>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</si>
  <si>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</si>
  <si>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</si>
  <si>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</si>
  <si>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</si>
  <si>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</si>
  <si>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</si>
  <si>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</si>
  <si>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</si>
  <si>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</si>
  <si>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</si>
  <si>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</si>
  <si>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</si>
  <si>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</si>
  <si>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</si>
  <si>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</si>
  <si>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</si>
  <si>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</si>
  <si>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</si>
  <si>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</si>
  <si>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</si>
  <si>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</si>
  <si>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</si>
  <si>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</si>
  <si>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</si>
  <si>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</si>
  <si>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</si>
  <si>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</si>
  <si>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</si>
  <si>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</si>
  <si>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</si>
  <si>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</si>
  <si>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</si>
  <si>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</si>
  <si>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</si>
  <si>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</si>
  <si>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</si>
  <si>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</si>
  <si>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</si>
  <si>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</si>
  <si>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</si>
  <si>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</si>
  <si>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</si>
  <si>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</si>
  <si>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</si>
  <si>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</si>
  <si>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</si>
  <si>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</si>
  <si>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</si>
  <si>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</si>
  <si>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</si>
  <si>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</si>
  <si>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</si>
  <si>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</si>
  <si>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</si>
  <si>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</si>
  <si>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</si>
  <si>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</si>
  <si>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</si>
  <si>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</si>
  <si>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</si>
  <si>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</si>
  <si>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</si>
  <si>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</si>
  <si>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</si>
  <si>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</si>
  <si>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</si>
  <si>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</si>
  <si>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</si>
  <si>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</si>
  <si>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</si>
  <si>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</si>
  <si>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</si>
  <si>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</si>
  <si>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</si>
  <si>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</si>
  <si>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</si>
  <si>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</si>
  <si>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</si>
  <si>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</si>
  <si>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</si>
  <si>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</si>
  <si>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</si>
  <si>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</si>
  <si>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</si>
  <si>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</si>
  <si>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</si>
  <si>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</si>
  <si>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</si>
  <si>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</si>
  <si>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</si>
  <si>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</si>
  <si>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</si>
  <si>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</si>
  <si>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</si>
  <si>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</si>
  <si>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</si>
  <si>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</si>
  <si>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</si>
  <si>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</si>
  <si>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</si>
  <si>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</si>
  <si>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</si>
  <si>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</si>
  <si>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</si>
  <si>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Get our Excel for Business and Finance course.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</si>
  <si>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</si>
  <si>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</si>
  <si>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</si>
  <si>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</si>
  <si>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Dashboard Dataset</t>
  </si>
  <si>
    <t>Sales by Beverage Brand</t>
  </si>
  <si>
    <t>Sales by Retailer</t>
  </si>
  <si>
    <t>Brand</t>
  </si>
  <si>
    <t>Sales2022</t>
  </si>
  <si>
    <t>Sales2023</t>
  </si>
  <si>
    <t>Variance</t>
  </si>
  <si>
    <t>Sales 2023</t>
  </si>
  <si>
    <t>Sales And operating Profit Margin by Quarter</t>
  </si>
  <si>
    <t>Sum of Total Sales</t>
  </si>
  <si>
    <t>Sum of Units Sold</t>
  </si>
  <si>
    <t>Average of Price per Unit</t>
  </si>
  <si>
    <t>Sum of Operating Profit</t>
  </si>
  <si>
    <t>Row Labels</t>
  </si>
  <si>
    <t>Grand Total</t>
  </si>
  <si>
    <t>Column Labels</t>
  </si>
  <si>
    <t>2022</t>
  </si>
  <si>
    <t>2023</t>
  </si>
  <si>
    <t>Average of Operating Margin</t>
  </si>
  <si>
    <t>Qtr1</t>
  </si>
  <si>
    <t>Qtr2</t>
  </si>
  <si>
    <t>Qtr3</t>
  </si>
  <si>
    <t>Qtr4</t>
  </si>
  <si>
    <t>Years (Invoice Date)</t>
  </si>
  <si>
    <t>Quarters (Invoice Date)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</si>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</sst>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409]#,##0.00"/>
  </numFmts>
  <fonts count="15"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sz val="12"/>
      <color theme="1"/>
      <name val="Calibri"/>
      <family val="2"/>
      <scheme val="minor"/>
    </font>
    <font>
      <b/>
      <sz val="11"/>
      <color theme="1"/>
      <name val="Calibri"/>
      <family val="2"/>
      <scheme val="minor"/>
    </font>
    <font>
      <u/>
      <sz val="12"/>
      <color theme="10"/>
      <name val="Calibri"/>
      <family val="2"/>
      <scheme val="minor"/>
    </font>
    <font>
      <b/>
      <sz val="48"/>
      <color theme="1"/>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i/>
      <sz val="14"/>
      <color rgb="FF0432FF"/>
      <name val="Calibri"/>
      <family val="2"/>
      <scheme val="minor"/>
    </font>
    <font>
      <u/>
      <sz val="20"/>
      <color theme="10"/>
      <name val="Calibri"/>
      <family val="2"/>
      <scheme val="minor"/>
    </font>
    <font>
      <sz val="12"/>
      <color theme="0" tint="-4.9989318521683403E-2"/>
      <name val="Calibri"/>
      <family val="2"/>
      <scheme val="minor"/>
    </font>
    <font>
      <b/>
      <sz val="12"/>
      <color theme="0" tint="-4.9989318521683403E-2"/>
      <name val="Calibri"/>
      <family val="2"/>
      <scheme val="minor"/>
    </font>
  </fonts>
  <fills count="8">
    <fill>
      <patternFill patternType="none"/>
    </fill>
    <fill>
      <patternFill patternType="gray125"/>
    </fill>
    <fill>
      <patternFill patternType="solid">
        <fgColor rgb="FF2A3E68"/>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073673"/>
        <bgColor indexed="64"/>
      </patternFill>
    </fill>
    <fill>
      <patternFill patternType="solid">
        <fgColor theme="0"/>
        <bgColor indexed="64"/>
      </patternFill>
    </fill>
    <fill>
      <patternFill patternType="solid">
        <fgColor theme="4" tint="0.39997558519241921"/>
        <bgColor indexed="64"/>
      </patternFill>
    </fill>
  </fills>
  <borders count="11">
    <border>
      <left/>
      <right/>
      <top/>
      <bottom/>
      <diagonal/>
    </border>
    <border>
      <left/>
      <right/>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2">
    <xf numFmtId="0" fontId="0" fillId="0" borderId="0"/>
    <xf numFmtId="0" fontId="6" fillId="0" borderId="0" applyNumberFormat="0" applyFill="0" applyBorder="0" applyAlignment="0" applyProtection="0"/>
  </cellStyleXfs>
  <cellXfs count="47">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0" borderId="2" xfId="0" applyBorder="1"/>
    <xf numFmtId="0" fontId="7" fillId="0" borderId="3" xfId="0" applyFont="1" applyBorder="1" applyAlignment="1">
      <alignment horizontal="center" vertical="center"/>
    </xf>
    <xf numFmtId="0" fontId="0" fillId="0" borderId="4" xfId="0" applyBorder="1"/>
    <xf numFmtId="0" fontId="0" fillId="3" borderId="0" xfId="0" applyFill="1"/>
    <xf numFmtId="0" fontId="0" fillId="0" borderId="5" xfId="0" applyBorder="1"/>
    <xf numFmtId="0" fontId="8" fillId="0" borderId="0" xfId="0" applyFont="1" applyAlignment="1">
      <alignment horizontal="center" vertical="center"/>
    </xf>
    <xf numFmtId="0" fontId="0" fillId="0" borderId="6" xfId="0" applyBorder="1"/>
    <xf numFmtId="0" fontId="4" fillId="0" borderId="5" xfId="0" applyFont="1" applyBorder="1"/>
    <xf numFmtId="0" fontId="9" fillId="0" borderId="0" xfId="0" applyFont="1" applyAlignment="1">
      <alignment horizontal="center"/>
    </xf>
    <xf numFmtId="0" fontId="4" fillId="0" borderId="6" xfId="0" applyFont="1" applyBorder="1"/>
    <xf numFmtId="0" fontId="4" fillId="3" borderId="0" xfId="0" applyFont="1" applyFill="1"/>
    <xf numFmtId="0" fontId="4" fillId="0" borderId="0" xfId="0" applyFont="1"/>
    <xf numFmtId="0" fontId="0" fillId="0" borderId="5" xfId="0" applyBorder="1" applyAlignment="1">
      <alignment vertical="center"/>
    </xf>
    <xf numFmtId="0" fontId="0" fillId="0" borderId="6" xfId="0" applyBorder="1" applyAlignment="1">
      <alignment vertical="center"/>
    </xf>
    <xf numFmtId="0" fontId="0" fillId="3" borderId="0" xfId="0" applyFill="1" applyAlignment="1">
      <alignment vertical="center"/>
    </xf>
    <xf numFmtId="0" fontId="11" fillId="0" borderId="0" xfId="1" applyFont="1" applyFill="1" applyBorder="1"/>
    <xf numFmtId="0" fontId="5" fillId="0" borderId="8" xfId="0" applyFont="1" applyBorder="1"/>
    <xf numFmtId="0" fontId="0" fillId="0" borderId="0" xfId="0" applyAlignment="1">
      <alignment vertical="top" wrapText="1"/>
    </xf>
    <xf numFmtId="0" fontId="0" fillId="0" borderId="9" xfId="0" applyBorder="1"/>
    <xf numFmtId="0" fontId="0" fillId="0" borderId="8" xfId="0" applyBorder="1"/>
    <xf numFmtId="0" fontId="0" fillId="0" borderId="10" xfId="0" applyBorder="1"/>
    <xf numFmtId="0" fontId="12" fillId="4" borderId="7" xfId="1" applyFont="1" applyFill="1" applyBorder="1" applyAlignment="1">
      <alignment horizontal="center" vertical="center"/>
    </xf>
    <xf numFmtId="0" fontId="0" fillId="5" borderId="0" xfId="0" applyFill="1"/>
    <xf numFmtId="0" fontId="2" fillId="5" borderId="0" xfId="0" applyFont="1" applyFill="1"/>
    <xf numFmtId="0" fontId="2" fillId="6" borderId="0" xfId="0" applyFont="1" applyFill="1"/>
    <xf numFmtId="0" fontId="14" fillId="7" borderId="0" xfId="0" applyFont="1" applyFill="1"/>
    <xf numFmtId="0" fontId="13" fillId="6" borderId="0" xfId="0" applyFont="1" applyFill="1"/>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2" fillId="5" borderId="1" xfId="0" applyFont="1" applyFill="1" applyBorder="1"/>
    <xf numFmtId="3" fontId="2" fillId="5" borderId="1" xfId="0" applyNumberFormat="1" applyFont="1" applyFill="1" applyBorder="1"/>
    <xf numFmtId="3" fontId="2" fillId="5" borderId="0" xfId="0" applyNumberFormat="1" applyFont="1" applyFill="1"/>
    <xf numFmtId="166" fontId="0" fillId="0" borderId="0" xfId="0" applyNumberFormat="1"/>
    <xf numFmtId="0" fontId="2" fillId="5" borderId="0" xfId="0" applyFont="1" applyFill="1" applyAlignment="1">
      <alignment horizontal="center"/>
    </xf>
  </cellXfs>
  <cellStyles count="2">
    <cellStyle name="Hyperlink 2" xfId="1" xr:uid="{229837FD-7C70-47AC-B854-CBC5538B0B97}"/>
    <cellStyle name="Normal" xfId="0" builtinId="0"/>
  </cellStyles>
  <dxfs count="27">
    <dxf>
      <numFmt numFmtId="3" formatCode="#,##0"/>
    </dxf>
    <dxf>
      <numFmt numFmtId="166" formatCode="[$$-409]#,##0.00"/>
    </dxf>
    <dxf>
      <numFmt numFmtId="3" formatCode="#,##0"/>
    </dxf>
    <dxf>
      <numFmt numFmtId="166" formatCode="[$$-409]#,##0.00"/>
    </dxf>
    <dxf>
      <numFmt numFmtId="3" formatCode="#,##0"/>
    </dxf>
    <dxf>
      <numFmt numFmtId="166" formatCode="[$$-409]#,##0.00"/>
    </dxf>
    <dxf>
      <numFmt numFmtId="3" formatCode="#,##0"/>
    </dxf>
    <dxf>
      <numFmt numFmtId="166" formatCode="[$$-409]#,##0.00"/>
    </dxf>
    <dxf>
      <numFmt numFmtId="3" formatCode="#,##0"/>
    </dxf>
    <dxf>
      <numFmt numFmtId="166" formatCode="[$$-409]#,##0.00"/>
    </dxf>
    <dxf>
      <numFmt numFmtId="3" formatCode="#,##0"/>
    </dxf>
    <dxf>
      <numFmt numFmtId="166" formatCode="[$$-409]#,##0.0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lumMod val="60000"/>
                <a:lumOff val="40000"/>
              </a:schemeClr>
            </a:solidFill>
            <a:ln>
              <a:noFill/>
            </a:ln>
            <a:effectLst/>
          </c:spPr>
          <c:invertIfNegative val="0"/>
          <c:cat>
            <c:multiLvlStrRef>
              <c:f>Analysis!$E$19:$F$26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Analysis!$G$19:$G$26</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1BA6-415D-97E4-FA03A478BB6C}"/>
            </c:ext>
          </c:extLst>
        </c:ser>
        <c:dLbls>
          <c:showLegendKey val="0"/>
          <c:showVal val="0"/>
          <c:showCatName val="0"/>
          <c:showSerName val="0"/>
          <c:showPercent val="0"/>
          <c:showBubbleSize val="0"/>
        </c:dLbls>
        <c:gapWidth val="219"/>
        <c:axId val="386950224"/>
        <c:axId val="386950704"/>
      </c:barChart>
      <c:lineChart>
        <c:grouping val="standard"/>
        <c:varyColors val="0"/>
        <c:ser>
          <c:idx val="1"/>
          <c:order val="1"/>
          <c:tx>
            <c:v>Operating Profit Margin</c:v>
          </c:tx>
          <c:spPr>
            <a:ln w="28575" cap="sq">
              <a:solidFill>
                <a:srgbClr val="C00000"/>
              </a:solidFill>
              <a:round/>
            </a:ln>
            <a:effectLst/>
          </c:spPr>
          <c:marker>
            <c:symbol val="circle"/>
            <c:size val="5"/>
            <c:spPr>
              <a:noFill/>
              <a:ln w="19050">
                <a:solidFill>
                  <a:srgbClr val="C00000"/>
                </a:solidFill>
              </a:ln>
              <a:effectLst/>
            </c:spPr>
          </c:marker>
          <c:cat>
            <c:multiLvlStrRef>
              <c:f>Analysis!$E$19:$F$26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Analysis!$H$19:$H$26</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1BA6-415D-97E4-FA03A478BB6C}"/>
            </c:ext>
          </c:extLst>
        </c:ser>
        <c:dLbls>
          <c:showLegendKey val="0"/>
          <c:showVal val="0"/>
          <c:showCatName val="0"/>
          <c:showSerName val="0"/>
          <c:showPercent val="0"/>
          <c:showBubbleSize val="0"/>
        </c:dLbls>
        <c:marker val="1"/>
        <c:smooth val="0"/>
        <c:axId val="398101840"/>
        <c:axId val="398101360"/>
      </c:lineChart>
      <c:catAx>
        <c:axId val="38695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6950704"/>
        <c:crosses val="autoZero"/>
        <c:auto val="1"/>
        <c:lblAlgn val="ctr"/>
        <c:lblOffset val="100"/>
        <c:noMultiLvlLbl val="0"/>
      </c:catAx>
      <c:valAx>
        <c:axId val="38695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6950224"/>
        <c:crosses val="autoZero"/>
        <c:crossBetween val="between"/>
      </c:valAx>
      <c:valAx>
        <c:axId val="3981013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98101840"/>
        <c:crosses val="max"/>
        <c:crossBetween val="between"/>
      </c:valAx>
      <c:catAx>
        <c:axId val="398101840"/>
        <c:scaling>
          <c:orientation val="minMax"/>
        </c:scaling>
        <c:delete val="1"/>
        <c:axPos val="b"/>
        <c:numFmt formatCode="General" sourceLinked="1"/>
        <c:majorTickMark val="out"/>
        <c:minorTickMark val="none"/>
        <c:tickLblPos val="nextTo"/>
        <c:crossAx val="3981013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png"/><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2</xdr:col>
      <xdr:colOff>2209032</xdr:colOff>
      <xdr:row>3</xdr:row>
      <xdr:rowOff>50217</xdr:rowOff>
    </xdr:from>
    <xdr:ext cx="3204694" cy="1114911"/>
    <xdr:pic>
      <xdr:nvPicPr>
        <xdr:cNvPr id="2" name="Picture 1">
          <a:hlinkClick xmlns:r="http://schemas.openxmlformats.org/officeDocument/2006/relationships" r:id="rId1"/>
          <a:extLst>
            <a:ext uri="{FF2B5EF4-FFF2-40B4-BE49-F238E27FC236}">
              <a16:creationId xmlns:a16="http://schemas.microsoft.com/office/drawing/2014/main" id="{8C575290-1461-4672-9836-EACFA325121B}"/>
            </a:ext>
          </a:extLst>
        </xdr:cNvPr>
        <xdr:cNvPicPr>
          <a:picLocks noChangeAspect="1"/>
        </xdr:cNvPicPr>
      </xdr:nvPicPr>
      <xdr:blipFill>
        <a:blip xmlns:r="http://schemas.openxmlformats.org/officeDocument/2006/relationships" r:embed="rId2"/>
        <a:stretch>
          <a:fillRect/>
        </a:stretch>
      </xdr:blipFill>
      <xdr:spPr>
        <a:xfrm>
          <a:off x="3679692" y="1223697"/>
          <a:ext cx="3204694" cy="11149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857249</xdr:colOff>
      <xdr:row>2</xdr:row>
      <xdr:rowOff>9525</xdr:rowOff>
    </xdr:from>
    <xdr:to>
      <xdr:col>12</xdr:col>
      <xdr:colOff>666750</xdr:colOff>
      <xdr:row>5</xdr:row>
      <xdr:rowOff>114300</xdr:rowOff>
    </xdr:to>
    <xdr:sp macro="" textlink="">
      <xdr:nvSpPr>
        <xdr:cNvPr id="2" name="Rectangle 1">
          <a:extLst>
            <a:ext uri="{FF2B5EF4-FFF2-40B4-BE49-F238E27FC236}">
              <a16:creationId xmlns:a16="http://schemas.microsoft.com/office/drawing/2014/main" id="{5F4C462E-4181-5CE1-C2BB-89C0F5E248D1}"/>
            </a:ext>
          </a:extLst>
        </xdr:cNvPr>
        <xdr:cNvSpPr/>
      </xdr:nvSpPr>
      <xdr:spPr>
        <a:xfrm>
          <a:off x="2809874" y="409575"/>
          <a:ext cx="8267701" cy="704850"/>
        </a:xfrm>
        <a:prstGeom prst="rect">
          <a:avLst/>
        </a:prstGeom>
        <a:solidFill>
          <a:srgbClr val="0736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Coca-Cola</a:t>
          </a:r>
          <a:r>
            <a:rPr lang="en-US" sz="2800" b="1" baseline="0"/>
            <a:t> USA  Retailer  Dashboard</a:t>
          </a:r>
        </a:p>
        <a:p>
          <a:pPr algn="l"/>
          <a:r>
            <a:rPr lang="en-US" sz="1000" b="0">
              <a:latin typeface="Centaur" panose="02030504050205020304" pitchFamily="18" charset="0"/>
            </a:rPr>
            <a:t>figures in</a:t>
          </a:r>
          <a:r>
            <a:rPr lang="en-US" sz="1000" b="0" baseline="0">
              <a:latin typeface="Centaur" panose="02030504050205020304" pitchFamily="18" charset="0"/>
            </a:rPr>
            <a:t> USD</a:t>
          </a:r>
          <a:endParaRPr lang="en-NG" sz="1000" b="0">
            <a:latin typeface="Centaur" panose="02030504050205020304" pitchFamily="18" charset="0"/>
          </a:endParaRPr>
        </a:p>
      </xdr:txBody>
    </xdr:sp>
    <xdr:clientData/>
  </xdr:twoCellAnchor>
  <xdr:twoCellAnchor>
    <xdr:from>
      <xdr:col>2</xdr:col>
      <xdr:colOff>19051</xdr:colOff>
      <xdr:row>6</xdr:row>
      <xdr:rowOff>95250</xdr:rowOff>
    </xdr:from>
    <xdr:to>
      <xdr:col>4</xdr:col>
      <xdr:colOff>123825</xdr:colOff>
      <xdr:row>10</xdr:row>
      <xdr:rowOff>0</xdr:rowOff>
    </xdr:to>
    <xdr:sp macro="" textlink="">
      <xdr:nvSpPr>
        <xdr:cNvPr id="3" name="Rectangle 2">
          <a:extLst>
            <a:ext uri="{FF2B5EF4-FFF2-40B4-BE49-F238E27FC236}">
              <a16:creationId xmlns:a16="http://schemas.microsoft.com/office/drawing/2014/main" id="{3E52C019-AA58-4397-F036-766DED3D9976}"/>
            </a:ext>
          </a:extLst>
        </xdr:cNvPr>
        <xdr:cNvSpPr/>
      </xdr:nvSpPr>
      <xdr:spPr>
        <a:xfrm>
          <a:off x="2828926" y="1295400"/>
          <a:ext cx="1819274" cy="70485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Total</a:t>
          </a:r>
          <a:r>
            <a:rPr lang="en-US" sz="1100" baseline="0"/>
            <a:t> Sales</a:t>
          </a:r>
        </a:p>
        <a:p>
          <a:pPr algn="l"/>
          <a:endParaRPr lang="en-NG" sz="1100"/>
        </a:p>
      </xdr:txBody>
    </xdr:sp>
    <xdr:clientData/>
  </xdr:twoCellAnchor>
  <xdr:twoCellAnchor>
    <xdr:from>
      <xdr:col>4</xdr:col>
      <xdr:colOff>247650</xdr:colOff>
      <xdr:row>6</xdr:row>
      <xdr:rowOff>114300</xdr:rowOff>
    </xdr:from>
    <xdr:to>
      <xdr:col>7</xdr:col>
      <xdr:colOff>19050</xdr:colOff>
      <xdr:row>9</xdr:row>
      <xdr:rowOff>152400</xdr:rowOff>
    </xdr:to>
    <xdr:sp macro="" textlink="">
      <xdr:nvSpPr>
        <xdr:cNvPr id="4" name="Rectangle 3">
          <a:extLst>
            <a:ext uri="{FF2B5EF4-FFF2-40B4-BE49-F238E27FC236}">
              <a16:creationId xmlns:a16="http://schemas.microsoft.com/office/drawing/2014/main" id="{78D19D92-F7E7-DE96-2E05-EFFBBAFCA30E}"/>
            </a:ext>
          </a:extLst>
        </xdr:cNvPr>
        <xdr:cNvSpPr/>
      </xdr:nvSpPr>
      <xdr:spPr>
        <a:xfrm>
          <a:off x="4562475" y="1314450"/>
          <a:ext cx="1485900" cy="63817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Unit</a:t>
          </a:r>
          <a:r>
            <a:rPr lang="en-US" sz="1100" baseline="0"/>
            <a:t> Sold</a:t>
          </a:r>
          <a:endParaRPr lang="en-NG" sz="1100"/>
        </a:p>
      </xdr:txBody>
    </xdr:sp>
    <xdr:clientData/>
  </xdr:twoCellAnchor>
  <xdr:twoCellAnchor>
    <xdr:from>
      <xdr:col>8</xdr:col>
      <xdr:colOff>0</xdr:colOff>
      <xdr:row>6</xdr:row>
      <xdr:rowOff>104775</xdr:rowOff>
    </xdr:from>
    <xdr:to>
      <xdr:col>10</xdr:col>
      <xdr:colOff>552450</xdr:colOff>
      <xdr:row>10</xdr:row>
      <xdr:rowOff>9525</xdr:rowOff>
    </xdr:to>
    <xdr:sp macro="" textlink="">
      <xdr:nvSpPr>
        <xdr:cNvPr id="5" name="Rectangle 4">
          <a:extLst>
            <a:ext uri="{FF2B5EF4-FFF2-40B4-BE49-F238E27FC236}">
              <a16:creationId xmlns:a16="http://schemas.microsoft.com/office/drawing/2014/main" id="{F1810C07-6013-E9AB-5908-0F2837550C81}"/>
            </a:ext>
          </a:extLst>
        </xdr:cNvPr>
        <xdr:cNvSpPr/>
      </xdr:nvSpPr>
      <xdr:spPr>
        <a:xfrm>
          <a:off x="7629525" y="1304925"/>
          <a:ext cx="1619250"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NG" sz="1800" b="1" i="0" u="none" strike="noStrike">
            <a:solidFill>
              <a:schemeClr val="bg1"/>
            </a:solidFill>
            <a:latin typeface="Calibri"/>
            <a:ea typeface="+mn-ea"/>
            <a:cs typeface="Calibri"/>
          </a:endParaRPr>
        </a:p>
      </xdr:txBody>
    </xdr:sp>
    <xdr:clientData/>
  </xdr:twoCellAnchor>
  <xdr:twoCellAnchor>
    <xdr:from>
      <xdr:col>10</xdr:col>
      <xdr:colOff>295275</xdr:colOff>
      <xdr:row>6</xdr:row>
      <xdr:rowOff>95250</xdr:rowOff>
    </xdr:from>
    <xdr:to>
      <xdr:col>13</xdr:col>
      <xdr:colOff>0</xdr:colOff>
      <xdr:row>10</xdr:row>
      <xdr:rowOff>0</xdr:rowOff>
    </xdr:to>
    <xdr:sp macro="" textlink="">
      <xdr:nvSpPr>
        <xdr:cNvPr id="6" name="Rectangle 5">
          <a:extLst>
            <a:ext uri="{FF2B5EF4-FFF2-40B4-BE49-F238E27FC236}">
              <a16:creationId xmlns:a16="http://schemas.microsoft.com/office/drawing/2014/main" id="{13659A56-558A-2208-CA59-35D139BE579B}"/>
            </a:ext>
          </a:extLst>
        </xdr:cNvPr>
        <xdr:cNvSpPr/>
      </xdr:nvSpPr>
      <xdr:spPr>
        <a:xfrm>
          <a:off x="8210550" y="1295400"/>
          <a:ext cx="1390650" cy="70485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Total Operaring Profit</a:t>
          </a:r>
          <a:endParaRPr lang="en-NG" sz="1100"/>
        </a:p>
      </xdr:txBody>
    </xdr:sp>
    <xdr:clientData/>
  </xdr:twoCellAnchor>
  <xdr:twoCellAnchor editAs="oneCell">
    <xdr:from>
      <xdr:col>10</xdr:col>
      <xdr:colOff>333375</xdr:colOff>
      <xdr:row>2</xdr:row>
      <xdr:rowOff>57150</xdr:rowOff>
    </xdr:from>
    <xdr:to>
      <xdr:col>12</xdr:col>
      <xdr:colOff>9524</xdr:colOff>
      <xdr:row>5</xdr:row>
      <xdr:rowOff>9454</xdr:rowOff>
    </xdr:to>
    <xdr:pic>
      <xdr:nvPicPr>
        <xdr:cNvPr id="8" name="Picture 7">
          <a:extLst>
            <a:ext uri="{FF2B5EF4-FFF2-40B4-BE49-F238E27FC236}">
              <a16:creationId xmlns:a16="http://schemas.microsoft.com/office/drawing/2014/main" id="{F8022932-B24D-374A-C53A-6509B99B03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48650" y="457200"/>
          <a:ext cx="1333499" cy="552379"/>
        </a:xfrm>
        <a:prstGeom prst="rect">
          <a:avLst/>
        </a:prstGeom>
      </xdr:spPr>
    </xdr:pic>
    <xdr:clientData/>
  </xdr:twoCellAnchor>
  <xdr:twoCellAnchor editAs="oneCell">
    <xdr:from>
      <xdr:col>0</xdr:col>
      <xdr:colOff>238125</xdr:colOff>
      <xdr:row>0</xdr:row>
      <xdr:rowOff>152400</xdr:rowOff>
    </xdr:from>
    <xdr:to>
      <xdr:col>0</xdr:col>
      <xdr:colOff>1695450</xdr:colOff>
      <xdr:row>4</xdr:row>
      <xdr:rowOff>114300</xdr:rowOff>
    </xdr:to>
    <xdr:pic>
      <xdr:nvPicPr>
        <xdr:cNvPr id="10" name="Picture 9">
          <a:extLst>
            <a:ext uri="{FF2B5EF4-FFF2-40B4-BE49-F238E27FC236}">
              <a16:creationId xmlns:a16="http://schemas.microsoft.com/office/drawing/2014/main" id="{5DD6C7E5-DD81-B35B-6B18-53A22D8772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125" y="152400"/>
          <a:ext cx="1457325" cy="762000"/>
        </a:xfrm>
        <a:prstGeom prst="rect">
          <a:avLst/>
        </a:prstGeom>
        <a:solidFill>
          <a:schemeClr val="accent1">
            <a:lumMod val="60000"/>
            <a:lumOff val="40000"/>
          </a:schemeClr>
        </a:solidFill>
      </xdr:spPr>
    </xdr:pic>
    <xdr:clientData/>
  </xdr:twoCellAnchor>
  <xdr:twoCellAnchor>
    <xdr:from>
      <xdr:col>2</xdr:col>
      <xdr:colOff>228600</xdr:colOff>
      <xdr:row>7</xdr:row>
      <xdr:rowOff>171450</xdr:rowOff>
    </xdr:from>
    <xdr:to>
      <xdr:col>4</xdr:col>
      <xdr:colOff>209550</xdr:colOff>
      <xdr:row>10</xdr:row>
      <xdr:rowOff>66675</xdr:rowOff>
    </xdr:to>
    <xdr:sp macro="" textlink="Analysis!A4">
      <xdr:nvSpPr>
        <xdr:cNvPr id="11" name="TextBox 10">
          <a:extLst>
            <a:ext uri="{FF2B5EF4-FFF2-40B4-BE49-F238E27FC236}">
              <a16:creationId xmlns:a16="http://schemas.microsoft.com/office/drawing/2014/main" id="{EDB12C46-B8B7-E734-CA35-0FF7ADBCB009}"/>
            </a:ext>
          </a:extLst>
        </xdr:cNvPr>
        <xdr:cNvSpPr txBox="1"/>
      </xdr:nvSpPr>
      <xdr:spPr>
        <a:xfrm>
          <a:off x="3038475" y="1571625"/>
          <a:ext cx="14859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5BBBBE-EB76-4DBC-849A-45A12109FFCD}" type="TxLink">
            <a:rPr lang="en-US" sz="1800" b="1" i="0" u="none" strike="noStrike">
              <a:solidFill>
                <a:schemeClr val="bg1"/>
              </a:solidFill>
              <a:latin typeface="Calibri"/>
              <a:ea typeface="+mn-ea"/>
              <a:cs typeface="Calibri"/>
            </a:rPr>
            <a:pPr marL="0" indent="0"/>
            <a:t>12,016,665</a:t>
          </a:fld>
          <a:endParaRPr lang="en-NG" sz="1800" b="1" i="0" u="none" strike="noStrike">
            <a:solidFill>
              <a:schemeClr val="bg1"/>
            </a:solidFill>
            <a:latin typeface="Calibri"/>
            <a:ea typeface="+mn-ea"/>
            <a:cs typeface="Calibri"/>
          </a:endParaRPr>
        </a:p>
      </xdr:txBody>
    </xdr:sp>
    <xdr:clientData/>
  </xdr:twoCellAnchor>
  <xdr:twoCellAnchor>
    <xdr:from>
      <xdr:col>4</xdr:col>
      <xdr:colOff>409575</xdr:colOff>
      <xdr:row>7</xdr:row>
      <xdr:rowOff>161925</xdr:rowOff>
    </xdr:from>
    <xdr:to>
      <xdr:col>7</xdr:col>
      <xdr:colOff>123825</xdr:colOff>
      <xdr:row>10</xdr:row>
      <xdr:rowOff>57150</xdr:rowOff>
    </xdr:to>
    <xdr:sp macro="" textlink="Analysis!B4">
      <xdr:nvSpPr>
        <xdr:cNvPr id="12" name="TextBox 11">
          <a:extLst>
            <a:ext uri="{FF2B5EF4-FFF2-40B4-BE49-F238E27FC236}">
              <a16:creationId xmlns:a16="http://schemas.microsoft.com/office/drawing/2014/main" id="{E70A6188-E737-F3D1-6B77-D4EA9EA63575}"/>
            </a:ext>
          </a:extLst>
        </xdr:cNvPr>
        <xdr:cNvSpPr txBox="1"/>
      </xdr:nvSpPr>
      <xdr:spPr>
        <a:xfrm>
          <a:off x="4724400" y="1562100"/>
          <a:ext cx="14287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2B89E8-DA9A-41B7-B889-3AD468C91ADC}" type="TxLink">
            <a:rPr lang="en-US" sz="1800" b="1" i="0" u="none" strike="noStrike">
              <a:solidFill>
                <a:schemeClr val="bg1"/>
              </a:solidFill>
              <a:latin typeface="Calibri"/>
              <a:ea typeface="+mn-ea"/>
              <a:cs typeface="Calibri"/>
            </a:rPr>
            <a:pPr marL="0" indent="0"/>
            <a:t>24,788,610</a:t>
          </a:fld>
          <a:endParaRPr lang="en-NG" sz="1800" b="1" i="0" u="none" strike="noStrike">
            <a:solidFill>
              <a:schemeClr val="bg1"/>
            </a:solidFill>
            <a:latin typeface="Calibri"/>
            <a:ea typeface="+mn-ea"/>
            <a:cs typeface="Calibri"/>
          </a:endParaRPr>
        </a:p>
      </xdr:txBody>
    </xdr:sp>
    <xdr:clientData/>
  </xdr:twoCellAnchor>
  <xdr:twoCellAnchor>
    <xdr:from>
      <xdr:col>7</xdr:col>
      <xdr:colOff>419100</xdr:colOff>
      <xdr:row>6</xdr:row>
      <xdr:rowOff>142875</xdr:rowOff>
    </xdr:from>
    <xdr:to>
      <xdr:col>9</xdr:col>
      <xdr:colOff>704850</xdr:colOff>
      <xdr:row>10</xdr:row>
      <xdr:rowOff>9525</xdr:rowOff>
    </xdr:to>
    <xdr:sp macro="" textlink="Analysis!A4">
      <xdr:nvSpPr>
        <xdr:cNvPr id="13" name="TextBox 12">
          <a:extLst>
            <a:ext uri="{FF2B5EF4-FFF2-40B4-BE49-F238E27FC236}">
              <a16:creationId xmlns:a16="http://schemas.microsoft.com/office/drawing/2014/main" id="{94683CD5-5B8A-D180-7CF7-FB2EBC61D356}"/>
            </a:ext>
          </a:extLst>
        </xdr:cNvPr>
        <xdr:cNvSpPr txBox="1"/>
      </xdr:nvSpPr>
      <xdr:spPr>
        <a:xfrm>
          <a:off x="6448425" y="1343025"/>
          <a:ext cx="1419225" cy="6667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Average Price</a:t>
          </a:r>
          <a:endParaRPr lang="en-NG" sz="1100" b="0">
            <a:solidFill>
              <a:schemeClr val="bg1"/>
            </a:solidFill>
          </a:endParaRPr>
        </a:p>
      </xdr:txBody>
    </xdr:sp>
    <xdr:clientData/>
  </xdr:twoCellAnchor>
  <xdr:twoCellAnchor>
    <xdr:from>
      <xdr:col>10</xdr:col>
      <xdr:colOff>447675</xdr:colOff>
      <xdr:row>8</xdr:row>
      <xdr:rowOff>28575</xdr:rowOff>
    </xdr:from>
    <xdr:to>
      <xdr:col>13</xdr:col>
      <xdr:colOff>428625</xdr:colOff>
      <xdr:row>10</xdr:row>
      <xdr:rowOff>123825</xdr:rowOff>
    </xdr:to>
    <xdr:sp macro="" textlink="Analysis!D4">
      <xdr:nvSpPr>
        <xdr:cNvPr id="14" name="TextBox 13">
          <a:extLst>
            <a:ext uri="{FF2B5EF4-FFF2-40B4-BE49-F238E27FC236}">
              <a16:creationId xmlns:a16="http://schemas.microsoft.com/office/drawing/2014/main" id="{DB279EE3-0189-33F2-BEFA-4A656E49221F}"/>
            </a:ext>
          </a:extLst>
        </xdr:cNvPr>
        <xdr:cNvSpPr txBox="1"/>
      </xdr:nvSpPr>
      <xdr:spPr>
        <a:xfrm>
          <a:off x="8362950" y="1628775"/>
          <a:ext cx="166687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F34167-1198-4BE6-820C-EFC087E7A1AC}" type="TxLink">
            <a:rPr lang="en-US" sz="1800" b="1" i="0" u="none" strike="noStrike">
              <a:solidFill>
                <a:schemeClr val="bg1"/>
              </a:solidFill>
              <a:latin typeface="Calibri"/>
              <a:cs typeface="Calibri"/>
            </a:rPr>
            <a:pPr/>
            <a:t>4,722,497</a:t>
          </a:fld>
          <a:endParaRPr lang="en-NG" sz="1800" b="1">
            <a:solidFill>
              <a:schemeClr val="bg1"/>
            </a:solidFill>
          </a:endParaRPr>
        </a:p>
      </xdr:txBody>
    </xdr:sp>
    <xdr:clientData/>
  </xdr:twoCellAnchor>
  <xdr:twoCellAnchor>
    <xdr:from>
      <xdr:col>8</xdr:col>
      <xdr:colOff>133351</xdr:colOff>
      <xdr:row>7</xdr:row>
      <xdr:rowOff>161925</xdr:rowOff>
    </xdr:from>
    <xdr:to>
      <xdr:col>9</xdr:col>
      <xdr:colOff>704850</xdr:colOff>
      <xdr:row>10</xdr:row>
      <xdr:rowOff>66675</xdr:rowOff>
    </xdr:to>
    <xdr:sp macro="" textlink="Analysis!C4">
      <xdr:nvSpPr>
        <xdr:cNvPr id="15" name="TextBox 14">
          <a:extLst>
            <a:ext uri="{FF2B5EF4-FFF2-40B4-BE49-F238E27FC236}">
              <a16:creationId xmlns:a16="http://schemas.microsoft.com/office/drawing/2014/main" id="{8EA6FDD1-21DF-8E2C-CCAE-0858A1E8D22E}"/>
            </a:ext>
          </a:extLst>
        </xdr:cNvPr>
        <xdr:cNvSpPr txBox="1"/>
      </xdr:nvSpPr>
      <xdr:spPr>
        <a:xfrm>
          <a:off x="6696076" y="1562100"/>
          <a:ext cx="117157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7B58F7-A947-45F4-9632-4C9B36157A4B}" type="TxLink">
            <a:rPr lang="en-US" sz="1800" b="1" i="0" u="none" strike="noStrike">
              <a:solidFill>
                <a:schemeClr val="bg1"/>
              </a:solidFill>
              <a:latin typeface="Calibri"/>
              <a:cs typeface="Calibri"/>
            </a:rPr>
            <a:pPr/>
            <a:t>$0.45</a:t>
          </a:fld>
          <a:endParaRPr lang="en-US" sz="1800" b="1">
            <a:solidFill>
              <a:schemeClr val="bg1"/>
            </a:solidFill>
          </a:endParaRPr>
        </a:p>
      </xdr:txBody>
    </xdr:sp>
    <xdr:clientData/>
  </xdr:twoCellAnchor>
  <xdr:twoCellAnchor>
    <xdr:from>
      <xdr:col>2</xdr:col>
      <xdr:colOff>9525</xdr:colOff>
      <xdr:row>25</xdr:row>
      <xdr:rowOff>28575</xdr:rowOff>
    </xdr:from>
    <xdr:to>
      <xdr:col>11</xdr:col>
      <xdr:colOff>838200</xdr:colOff>
      <xdr:row>35</xdr:row>
      <xdr:rowOff>76201</xdr:rowOff>
    </xdr:to>
    <xdr:graphicFrame macro="">
      <xdr:nvGraphicFramePr>
        <xdr:cNvPr id="17" name="Chart 16">
          <a:extLst>
            <a:ext uri="{FF2B5EF4-FFF2-40B4-BE49-F238E27FC236}">
              <a16:creationId xmlns:a16="http://schemas.microsoft.com/office/drawing/2014/main" id="{CD760B31-DB56-4E42-94B9-FDD0001DD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195313</xdr:rowOff>
    </xdr:from>
    <xdr:to>
      <xdr:col>0</xdr:col>
      <xdr:colOff>1935726</xdr:colOff>
      <xdr:row>14</xdr:row>
      <xdr:rowOff>71693</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8E752B8D-BBBE-4A23-B9E7-9BC1C5CC79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997418"/>
              <a:ext cx="1935726" cy="188164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3.127110300928" createdVersion="8" refreshedVersion="8" minRefreshableVersion="3" recordCount="9648" xr:uid="{E2409C54-063A-4C49-83B3-53A8E8A1A2E3}">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056269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78B91B-79FE-45EE-B90F-63BC5252481E}"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8:D27" firstHeaderRow="0" firstDataRow="1" firstDataCol="2"/>
  <pivotFields count="15">
    <pivotField compact="0" outline="0" showAll="0" defaultSubtotal="0"/>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n="2022"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4"/>
    <dataField name="Average of Operating Margin" fld="11" subtotal="average" baseField="6"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4AC07D-7D04-4A3C-AE0C-C014C6668FB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5" firstHeaderRow="1" firstDataRow="2" firstDataCol="1"/>
  <pivotFields count="15">
    <pivotField showAll="0">
      <items count="7">
        <item h="1" x="1"/>
        <item x="0"/>
        <item h="1" x="2"/>
        <item h="1" x="5"/>
        <item h="1" x="3"/>
        <item h="1"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77067C-C206-4E16-940A-C1F83FCED20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3" numFmtId="3"/>
    <dataField name="Average of Price per Unit" fld="7" subtotal="average" baseField="0" baseItem="3" numFmtId="166"/>
    <dataField name="Sum of Operating Profit" fld="10" baseField="0" baseItem="0" numFmtId="164"/>
  </dataFields>
  <formats count="2">
    <format dxfId="10">
      <pivotArea outline="0" collapsedLevelsAreSubtotals="1" fieldPosition="0"/>
    </format>
    <format dxfId="1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717121-3C8D-4E8B-B544-CB5B3C84270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D38"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58B377-71A5-4823-BA1D-4AA962903563}" sourceName="Region">
  <pivotTables>
    <pivotTable tabId="8" name="PivotTable1"/>
    <pivotTable tabId="8" name="PivotTable2"/>
    <pivotTable tabId="8" name="PivotTable4"/>
    <pivotTable tabId="8" name="PivotTable3"/>
  </pivotTables>
  <data>
    <tabular pivotCacheId="1056269530">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5CF30A8-37A1-4A3A-B94E-698977E138BA}"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26" dataDxfId="25" tableBorderDxfId="24">
  <autoFilter ref="B4:M9652" xr:uid="{241C6583-A395-494F-B34A-BA98EEB4132C}"/>
  <tableColumns count="12">
    <tableColumn id="1" xr3:uid="{72C602C4-76C4-4A75-933A-FDC9591C1526}" name="Retailer" dataDxfId="23"/>
    <tableColumn id="2" xr3:uid="{725FD838-82AA-427A-9CE2-6C04110A316D}" name="Retailer ID" dataDxfId="22"/>
    <tableColumn id="3" xr3:uid="{9C123582-20EA-467F-A5ED-8224D6001C00}" name="Invoice Date" dataDxfId="21"/>
    <tableColumn id="4" xr3:uid="{134DBAE7-3279-40E6-98D9-CBECFFFB85D5}" name="Region" dataDxfId="20"/>
    <tableColumn id="5" xr3:uid="{C2E2A540-5264-40E1-8C95-F5F8159FEF6D}" name="State" dataDxfId="19"/>
    <tableColumn id="6" xr3:uid="{6DD89386-635C-40C8-9606-F930BAB18D98}" name="City" dataDxfId="18"/>
    <tableColumn id="7" xr3:uid="{79044A14-8C29-4B84-AA06-8282B70BA02E}" name="Beverage Brand" dataDxfId="17"/>
    <tableColumn id="8" xr3:uid="{A75130C6-6732-4DA3-A42A-8ECCD7E66F61}" name="Price per Unit" dataDxfId="16"/>
    <tableColumn id="9" xr3:uid="{3E7FDD09-C8F4-41A0-8B3E-09F0A7E4D8AD}" name="Units Sold" dataDxfId="15"/>
    <tableColumn id="10" xr3:uid="{521D1DF4-DD00-4778-9BB1-91E31DADFF87}" name="Total Sales" dataDxfId="14"/>
    <tableColumn id="11" xr3:uid="{94400550-7002-4F21-A27B-497430EA373F}" name="Operating Profit" dataDxfId="13"/>
    <tableColumn id="12" xr3:uid="{2526BB74-C8C1-4549-9ED9-43B205AA3AC6}" name="Operating Margin"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67AA6-B3BE-423D-84CC-BF75B12AA2C0}">
  <dimension ref="B3:D16"/>
  <sheetViews>
    <sheetView showGridLines="0" zoomScale="110" zoomScaleNormal="110" workbookViewId="0">
      <selection activeCell="C9" sqref="C9"/>
    </sheetView>
  </sheetViews>
  <sheetFormatPr defaultColWidth="10.75" defaultRowHeight="15.75" x14ac:dyDescent="0.25"/>
  <cols>
    <col min="1" max="1" width="10.75" style="13"/>
    <col min="2" max="2" width="8.5" style="13" customWidth="1"/>
    <col min="3" max="3" width="102.75" style="13" bestFit="1" customWidth="1"/>
    <col min="4" max="4" width="9.5" style="13" customWidth="1"/>
    <col min="5" max="16384" width="10.75" style="13"/>
  </cols>
  <sheetData>
    <row r="3" spans="2:4" ht="61.5" x14ac:dyDescent="0.25">
      <c r="B3" s="10"/>
      <c r="C3" s="11" t="s">
        <v>137</v>
      </c>
      <c r="D3" s="12"/>
    </row>
    <row r="4" spans="2:4" ht="54" customHeight="1" x14ac:dyDescent="0.25">
      <c r="B4" s="14"/>
      <c r="C4" s="15"/>
      <c r="D4" s="16"/>
    </row>
    <row r="5" spans="2:4" ht="31.9" customHeight="1" x14ac:dyDescent="0.25">
      <c r="B5" s="14"/>
      <c r="C5" s="15"/>
      <c r="D5" s="16"/>
    </row>
    <row r="6" spans="2:4" x14ac:dyDescent="0.25">
      <c r="B6" s="14"/>
      <c r="C6"/>
      <c r="D6" s="16"/>
    </row>
    <row r="7" spans="2:4" s="20" customFormat="1" ht="21" x14ac:dyDescent="0.35">
      <c r="B7" s="17"/>
      <c r="C7" s="18" t="s">
        <v>131</v>
      </c>
      <c r="D7" s="19"/>
    </row>
    <row r="8" spans="2:4" s="20" customFormat="1" x14ac:dyDescent="0.25">
      <c r="B8" s="17"/>
      <c r="C8" s="21"/>
      <c r="D8" s="19"/>
    </row>
    <row r="9" spans="2:4" s="24" customFormat="1" ht="26.25" x14ac:dyDescent="0.25">
      <c r="B9" s="22"/>
      <c r="C9" s="31" t="s">
        <v>132</v>
      </c>
      <c r="D9" s="23"/>
    </row>
    <row r="10" spans="2:4" x14ac:dyDescent="0.25">
      <c r="B10" s="14"/>
      <c r="C10"/>
      <c r="D10" s="16"/>
    </row>
    <row r="11" spans="2:4" ht="18.75" x14ac:dyDescent="0.3">
      <c r="B11" s="14"/>
      <c r="C11" s="25" t="s">
        <v>133</v>
      </c>
      <c r="D11" s="16"/>
    </row>
    <row r="12" spans="2:4" x14ac:dyDescent="0.25">
      <c r="B12" s="14"/>
      <c r="C12"/>
      <c r="D12" s="16"/>
    </row>
    <row r="13" spans="2:4" x14ac:dyDescent="0.25">
      <c r="B13" s="14"/>
      <c r="C13" s="26" t="s">
        <v>134</v>
      </c>
      <c r="D13" s="16"/>
    </row>
    <row r="14" spans="2:4" x14ac:dyDescent="0.25">
      <c r="B14" s="14"/>
      <c r="C14" t="s">
        <v>135</v>
      </c>
      <c r="D14" s="16"/>
    </row>
    <row r="15" spans="2:4" ht="31.5" x14ac:dyDescent="0.25">
      <c r="B15" s="14"/>
      <c r="C15" s="27" t="s">
        <v>136</v>
      </c>
      <c r="D15" s="16"/>
    </row>
    <row r="16" spans="2:4" x14ac:dyDescent="0.25">
      <c r="B16" s="28"/>
      <c r="C16" s="29"/>
      <c r="D16" s="30"/>
    </row>
  </sheetData>
  <sheetProtection algorithmName="SHA-512" hashValue="Sl0ZVH8MwAUUzmPfMe+tt6RgxGiFzHcLhAedmcGkcvmeWpCQgYMouT+zMLE88eAjpIZBWQdJcNLZoMpU7RjaGA==" saltValue="cJjxKab+wh97UivXOMwlYg==" spinCount="100000" sheet="1" objects="1" scenarios="1"/>
  <hyperlinks>
    <hyperlink ref="C11" r:id="rId1" display="Made by Kenji Explains" xr:uid="{1CB877F0-5D0A-4A0F-AD2F-D123553EC40E}"/>
    <hyperlink ref="C9" r:id="rId2" display="Get our Power BI for Business Analytics." xr:uid="{75127F4A-7BE5-4CF8-BD30-DCDF6C2747B7}"/>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C442E-4CC0-4183-8697-5E909589D2AF}">
  <dimension ref="A3:H38"/>
  <sheetViews>
    <sheetView topLeftCell="A13" workbookViewId="0">
      <selection activeCell="F63" sqref="F63"/>
    </sheetView>
  </sheetViews>
  <sheetFormatPr defaultRowHeight="15.75" x14ac:dyDescent="0.25"/>
  <cols>
    <col min="1" max="1" width="16.625" bestFit="1" customWidth="1"/>
    <col min="2" max="2" width="23" bestFit="1" customWidth="1"/>
    <col min="3" max="3" width="16.625" bestFit="1" customWidth="1"/>
    <col min="4" max="4" width="26.375" bestFit="1" customWidth="1"/>
    <col min="5" max="5" width="21.75" bestFit="1" customWidth="1"/>
    <col min="6" max="7" width="31.375" bestFit="1" customWidth="1"/>
    <col min="8" max="725" width="10.625" bestFit="1" customWidth="1"/>
    <col min="726" max="726" width="11.5" bestFit="1" customWidth="1"/>
  </cols>
  <sheetData>
    <row r="3" spans="1:4" x14ac:dyDescent="0.25">
      <c r="A3" t="s">
        <v>146</v>
      </c>
      <c r="B3" t="s">
        <v>147</v>
      </c>
      <c r="C3" t="s">
        <v>148</v>
      </c>
      <c r="D3" t="s">
        <v>149</v>
      </c>
    </row>
    <row r="4" spans="1:4" x14ac:dyDescent="0.25">
      <c r="A4" s="38">
        <v>12016664.999999965</v>
      </c>
      <c r="B4" s="38">
        <v>24788610</v>
      </c>
      <c r="C4" s="45">
        <v>0.45216625207296596</v>
      </c>
      <c r="D4" s="38">
        <v>4722496.7700000061</v>
      </c>
    </row>
    <row r="7" spans="1:4" x14ac:dyDescent="0.25">
      <c r="A7" s="39" t="s">
        <v>146</v>
      </c>
      <c r="B7" s="39" t="s">
        <v>152</v>
      </c>
    </row>
    <row r="8" spans="1:4" x14ac:dyDescent="0.25">
      <c r="A8" s="39" t="s">
        <v>150</v>
      </c>
      <c r="B8" t="s">
        <v>153</v>
      </c>
      <c r="C8" t="s">
        <v>154</v>
      </c>
      <c r="D8" t="s">
        <v>151</v>
      </c>
    </row>
    <row r="9" spans="1:4" x14ac:dyDescent="0.25">
      <c r="A9" s="40" t="s">
        <v>14</v>
      </c>
      <c r="B9" s="37">
        <v>499102.00000000017</v>
      </c>
      <c r="C9" s="37">
        <v>2268974.9000000032</v>
      </c>
      <c r="D9" s="37">
        <v>2768076.9000000032</v>
      </c>
    </row>
    <row r="10" spans="1:4" x14ac:dyDescent="0.25">
      <c r="A10" s="40" t="s">
        <v>19</v>
      </c>
      <c r="B10" s="37">
        <v>469270.69999999984</v>
      </c>
      <c r="C10" s="37">
        <v>1917827.7999999949</v>
      </c>
      <c r="D10" s="37">
        <v>2387098.4999999949</v>
      </c>
    </row>
    <row r="11" spans="1:4" x14ac:dyDescent="0.25">
      <c r="A11" s="40" t="s">
        <v>15</v>
      </c>
      <c r="B11" s="37">
        <v>423758.70000000007</v>
      </c>
      <c r="C11" s="37">
        <v>1633959.3000000005</v>
      </c>
      <c r="D11" s="37">
        <v>2057718.0000000005</v>
      </c>
    </row>
    <row r="12" spans="1:4" x14ac:dyDescent="0.25">
      <c r="A12" s="40" t="s">
        <v>17</v>
      </c>
      <c r="B12" s="37">
        <v>315489.20000000013</v>
      </c>
      <c r="C12" s="37">
        <v>1116062.9000000027</v>
      </c>
      <c r="D12" s="37">
        <v>1431552.1000000029</v>
      </c>
    </row>
    <row r="13" spans="1:4" x14ac:dyDescent="0.25">
      <c r="A13" s="40" t="s">
        <v>18</v>
      </c>
      <c r="B13" s="37">
        <v>349533.89999999997</v>
      </c>
      <c r="C13" s="37">
        <v>1302529.3000000012</v>
      </c>
      <c r="D13" s="37">
        <v>1652063.2000000011</v>
      </c>
    </row>
    <row r="14" spans="1:4" x14ac:dyDescent="0.25">
      <c r="A14" s="40" t="s">
        <v>16</v>
      </c>
      <c r="B14" s="37">
        <v>366577.99999999988</v>
      </c>
      <c r="C14" s="37">
        <v>1353578.2999999986</v>
      </c>
      <c r="D14" s="37">
        <v>1720156.2999999984</v>
      </c>
    </row>
    <row r="15" spans="1:4" x14ac:dyDescent="0.25">
      <c r="A15" s="40" t="s">
        <v>151</v>
      </c>
      <c r="B15" s="37">
        <v>2423732.5</v>
      </c>
      <c r="C15" s="37">
        <v>9592932.5000000019</v>
      </c>
      <c r="D15" s="37">
        <v>12016665.000000002</v>
      </c>
    </row>
    <row r="18" spans="1:8" x14ac:dyDescent="0.25">
      <c r="A18" s="39" t="s">
        <v>160</v>
      </c>
      <c r="B18" s="39" t="s">
        <v>161</v>
      </c>
      <c r="C18" t="s">
        <v>146</v>
      </c>
      <c r="D18" t="s">
        <v>155</v>
      </c>
    </row>
    <row r="19" spans="1:8" x14ac:dyDescent="0.25">
      <c r="A19" t="s">
        <v>153</v>
      </c>
      <c r="B19" t="s">
        <v>156</v>
      </c>
      <c r="C19" s="37">
        <v>692776.09999999986</v>
      </c>
      <c r="D19" s="41">
        <v>0.40174683544303763</v>
      </c>
      <c r="E19" t="str">
        <f>A19</f>
        <v>2022</v>
      </c>
      <c r="F19" t="str">
        <f t="shared" ref="F19:H19" si="0">B19</f>
        <v>Qtr1</v>
      </c>
      <c r="G19">
        <f t="shared" si="0"/>
        <v>692776.09999999986</v>
      </c>
      <c r="H19">
        <f t="shared" si="0"/>
        <v>0.40174683544303763</v>
      </c>
    </row>
    <row r="20" spans="1:8" x14ac:dyDescent="0.25">
      <c r="B20" t="s">
        <v>157</v>
      </c>
      <c r="C20" s="37">
        <v>644203.89999999932</v>
      </c>
      <c r="D20" s="41">
        <v>0.40000000000000013</v>
      </c>
      <c r="F20" t="str">
        <f>B20</f>
        <v>Qtr2</v>
      </c>
      <c r="G20">
        <f t="shared" ref="G20:G26" si="1">C20</f>
        <v>644203.89999999932</v>
      </c>
      <c r="H20">
        <f t="shared" ref="H20:H26" si="2">D20</f>
        <v>0.40000000000000013</v>
      </c>
    </row>
    <row r="21" spans="1:8" x14ac:dyDescent="0.25">
      <c r="B21" t="s">
        <v>158</v>
      </c>
      <c r="C21" s="37">
        <v>719170.39999999979</v>
      </c>
      <c r="D21" s="41">
        <v>0.41026548672566376</v>
      </c>
      <c r="F21" t="str">
        <f t="shared" ref="F21:F26" si="3">B21</f>
        <v>Qtr3</v>
      </c>
      <c r="G21">
        <f t="shared" si="1"/>
        <v>719170.39999999979</v>
      </c>
      <c r="H21">
        <f t="shared" si="2"/>
        <v>0.41026548672566376</v>
      </c>
    </row>
    <row r="22" spans="1:8" x14ac:dyDescent="0.25">
      <c r="B22" t="s">
        <v>159</v>
      </c>
      <c r="C22" s="37">
        <v>367582.10000000015</v>
      </c>
      <c r="D22" s="41">
        <v>0.40243816254416953</v>
      </c>
      <c r="F22" t="str">
        <f>B22</f>
        <v>Qtr4</v>
      </c>
      <c r="G22">
        <f t="shared" si="1"/>
        <v>367582.10000000015</v>
      </c>
      <c r="H22">
        <f t="shared" si="2"/>
        <v>0.40243816254416953</v>
      </c>
    </row>
    <row r="23" spans="1:8" x14ac:dyDescent="0.25">
      <c r="A23" t="s">
        <v>154</v>
      </c>
      <c r="B23" t="s">
        <v>156</v>
      </c>
      <c r="C23" s="37">
        <v>1877584.300000001</v>
      </c>
      <c r="D23" s="41">
        <v>0.41657045009784782</v>
      </c>
      <c r="E23" t="str">
        <f t="shared" ref="E23" si="4">A23</f>
        <v>2023</v>
      </c>
      <c r="F23" t="str">
        <f t="shared" si="3"/>
        <v>Qtr1</v>
      </c>
      <c r="G23">
        <f t="shared" si="1"/>
        <v>1877584.300000001</v>
      </c>
      <c r="H23">
        <f t="shared" si="2"/>
        <v>0.41657045009784782</v>
      </c>
    </row>
    <row r="24" spans="1:8" x14ac:dyDescent="0.25">
      <c r="B24" t="s">
        <v>157</v>
      </c>
      <c r="C24" s="37">
        <v>2379424.800000004</v>
      </c>
      <c r="D24" s="41">
        <v>0.42755819477434692</v>
      </c>
      <c r="F24" t="str">
        <f>B24</f>
        <v>Qtr2</v>
      </c>
      <c r="G24">
        <f t="shared" si="1"/>
        <v>2379424.800000004</v>
      </c>
      <c r="H24">
        <f t="shared" si="2"/>
        <v>0.42755819477434692</v>
      </c>
    </row>
    <row r="25" spans="1:8" x14ac:dyDescent="0.25">
      <c r="B25" t="s">
        <v>158</v>
      </c>
      <c r="C25" s="37">
        <v>2805752.5000000005</v>
      </c>
      <c r="D25" s="41">
        <v>0.4347017045454537</v>
      </c>
      <c r="F25" t="str">
        <f t="shared" si="3"/>
        <v>Qtr3</v>
      </c>
      <c r="G25">
        <f t="shared" si="1"/>
        <v>2805752.5000000005</v>
      </c>
      <c r="H25">
        <f t="shared" si="2"/>
        <v>0.4347017045454537</v>
      </c>
    </row>
    <row r="26" spans="1:8" x14ac:dyDescent="0.25">
      <c r="B26" t="s">
        <v>159</v>
      </c>
      <c r="C26" s="37">
        <v>2530170.899999999</v>
      </c>
      <c r="D26" s="41">
        <v>0.42483932853717082</v>
      </c>
      <c r="F26" t="str">
        <f t="shared" si="3"/>
        <v>Qtr4</v>
      </c>
      <c r="G26">
        <f t="shared" si="1"/>
        <v>2530170.899999999</v>
      </c>
      <c r="H26">
        <f t="shared" si="2"/>
        <v>0.42483932853717082</v>
      </c>
    </row>
    <row r="27" spans="1:8" x14ac:dyDescent="0.25">
      <c r="A27" t="s">
        <v>151</v>
      </c>
      <c r="C27" s="37">
        <v>12016664.999999991</v>
      </c>
      <c r="D27" s="41">
        <v>0.42299129353233944</v>
      </c>
    </row>
    <row r="30" spans="1:8" x14ac:dyDescent="0.25">
      <c r="A30" s="39" t="s">
        <v>146</v>
      </c>
      <c r="B30" s="39" t="s">
        <v>152</v>
      </c>
    </row>
    <row r="31" spans="1:8" x14ac:dyDescent="0.25">
      <c r="A31" s="39" t="s">
        <v>150</v>
      </c>
      <c r="B31" t="s">
        <v>153</v>
      </c>
      <c r="C31" t="s">
        <v>154</v>
      </c>
      <c r="D31" t="s">
        <v>151</v>
      </c>
    </row>
    <row r="32" spans="1:8" x14ac:dyDescent="0.25">
      <c r="A32" s="40" t="s">
        <v>130</v>
      </c>
      <c r="B32" s="37">
        <v>276210</v>
      </c>
      <c r="C32" s="37">
        <v>1009698.7</v>
      </c>
      <c r="D32" s="37">
        <v>1285908.7</v>
      </c>
    </row>
    <row r="33" spans="1:4" x14ac:dyDescent="0.25">
      <c r="A33" s="40" t="s">
        <v>20</v>
      </c>
      <c r="B33" s="37">
        <v>466787.99999999994</v>
      </c>
      <c r="C33" s="37">
        <v>2327606.5000000019</v>
      </c>
      <c r="D33" s="37">
        <v>2794394.5000000019</v>
      </c>
    </row>
    <row r="34" spans="1:4" x14ac:dyDescent="0.25">
      <c r="A34" s="40" t="s">
        <v>127</v>
      </c>
      <c r="B34" s="37">
        <v>161210.1</v>
      </c>
      <c r="C34" s="37">
        <v>2262827.0999999978</v>
      </c>
      <c r="D34" s="37">
        <v>2424037.1999999979</v>
      </c>
    </row>
    <row r="35" spans="1:4" x14ac:dyDescent="0.25">
      <c r="A35" s="40" t="s">
        <v>129</v>
      </c>
      <c r="B35" s="37">
        <v>9250.3000000000011</v>
      </c>
      <c r="C35" s="37">
        <v>1341994.9999999998</v>
      </c>
      <c r="D35" s="37">
        <v>1351245.2999999998</v>
      </c>
    </row>
    <row r="36" spans="1:4" x14ac:dyDescent="0.25">
      <c r="A36" s="40" t="s">
        <v>126</v>
      </c>
      <c r="B36" s="37">
        <v>339912.5</v>
      </c>
      <c r="C36" s="37">
        <v>580211.00000000023</v>
      </c>
      <c r="D36" s="37">
        <v>920123.50000000023</v>
      </c>
    </row>
    <row r="37" spans="1:4" x14ac:dyDescent="0.25">
      <c r="A37" s="40" t="s">
        <v>128</v>
      </c>
      <c r="B37" s="37">
        <v>1170361.5999999996</v>
      </c>
      <c r="C37" s="37">
        <v>2070594.1999999993</v>
      </c>
      <c r="D37" s="37">
        <v>3240955.7999999989</v>
      </c>
    </row>
    <row r="38" spans="1:4" x14ac:dyDescent="0.25">
      <c r="A38" s="40" t="s">
        <v>151</v>
      </c>
      <c r="B38" s="37">
        <v>2423732.4999999995</v>
      </c>
      <c r="C38" s="37">
        <v>9592932.5</v>
      </c>
      <c r="D38" s="37">
        <v>12016665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B5" zoomScaleNormal="100" workbookViewId="0">
      <selection activeCell="G15" sqref="G15"/>
    </sheetView>
  </sheetViews>
  <sheetFormatPr defaultColWidth="11.25" defaultRowHeight="15.75" x14ac:dyDescent="0.25"/>
  <cols>
    <col min="1" max="1" width="7.25" customWidth="1"/>
    <col min="2" max="2" width="12.875" customWidth="1"/>
    <col min="3" max="3" width="13.75" bestFit="1" customWidth="1"/>
    <col min="4" max="4" width="13" customWidth="1"/>
    <col min="6" max="6" width="13.875" bestFit="1" customWidth="1"/>
    <col min="8" max="8" width="15.75" customWidth="1"/>
    <col min="9" max="9" width="16.625" bestFit="1" customWidth="1"/>
    <col min="10" max="10" width="13.5" bestFit="1"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2:N25"/>
  <sheetViews>
    <sheetView showGridLines="0" tabSelected="1" zoomScale="95" zoomScaleNormal="95" workbookViewId="0">
      <selection activeCell="N10" sqref="N10"/>
    </sheetView>
  </sheetViews>
  <sheetFormatPr defaultColWidth="11.25" defaultRowHeight="15.75" x14ac:dyDescent="0.25"/>
  <cols>
    <col min="1" max="1" width="25.625" style="32" customWidth="1"/>
    <col min="3" max="3" width="8.875" customWidth="1"/>
    <col min="4" max="4" width="10.875" customWidth="1"/>
    <col min="5" max="5" width="11.125" customWidth="1"/>
    <col min="6" max="6" width="11.25" customWidth="1"/>
    <col min="7" max="7" width="0.125" customWidth="1"/>
    <col min="8" max="8" width="7" customWidth="1"/>
    <col min="9" max="9" width="7.875" customWidth="1"/>
    <col min="10" max="10" width="9.875" customWidth="1"/>
    <col min="11" max="11" width="10.5" customWidth="1"/>
    <col min="12" max="12" width="11.25" customWidth="1"/>
    <col min="13" max="13" width="0.375" customWidth="1"/>
  </cols>
  <sheetData>
    <row r="12" spans="3:14" x14ac:dyDescent="0.25">
      <c r="C12" s="46" t="s">
        <v>138</v>
      </c>
      <c r="D12" s="46"/>
      <c r="E12" s="46"/>
      <c r="F12" s="46"/>
      <c r="G12" s="46"/>
      <c r="H12" s="34"/>
      <c r="I12" s="46" t="s">
        <v>139</v>
      </c>
      <c r="J12" s="46"/>
      <c r="K12" s="46"/>
      <c r="L12" s="46"/>
      <c r="M12" s="46"/>
    </row>
    <row r="13" spans="3:14" x14ac:dyDescent="0.25">
      <c r="C13" s="35" t="s">
        <v>140</v>
      </c>
      <c r="D13" s="35" t="s">
        <v>141</v>
      </c>
      <c r="E13" s="35" t="s">
        <v>142</v>
      </c>
      <c r="F13" s="35" t="s">
        <v>143</v>
      </c>
      <c r="G13" s="35"/>
      <c r="I13" s="35" t="s">
        <v>0</v>
      </c>
      <c r="J13" s="35" t="s">
        <v>141</v>
      </c>
      <c r="K13" s="35" t="s">
        <v>144</v>
      </c>
      <c r="L13" s="35" t="s">
        <v>143</v>
      </c>
      <c r="M13" s="35"/>
      <c r="N13" s="36"/>
    </row>
    <row r="14" spans="3:14" x14ac:dyDescent="0.25">
      <c r="C14" t="str">
        <f>Analysis!A9</f>
        <v>Coca-Cola</v>
      </c>
      <c r="D14" s="38">
        <f>Analysis!B9</f>
        <v>499102.00000000017</v>
      </c>
      <c r="E14" s="38">
        <f>Analysis!C9</f>
        <v>2268974.9000000032</v>
      </c>
      <c r="F14" s="38">
        <f>E14-D14</f>
        <v>1769872.9000000029</v>
      </c>
      <c r="I14" t="str">
        <f>Analysis!A32</f>
        <v>Amazon</v>
      </c>
      <c r="J14">
        <f>Analysis!B32</f>
        <v>276210</v>
      </c>
      <c r="K14">
        <f>Analysis!C32</f>
        <v>1009698.7</v>
      </c>
      <c r="L14">
        <f>Analysis!D32</f>
        <v>1285908.7</v>
      </c>
    </row>
    <row r="15" spans="3:14" x14ac:dyDescent="0.25">
      <c r="C15" t="str">
        <f>Analysis!A10</f>
        <v>Dasani Water</v>
      </c>
      <c r="D15" s="38">
        <f>Analysis!B10</f>
        <v>469270.69999999984</v>
      </c>
      <c r="E15" s="38">
        <f>Analysis!C10</f>
        <v>1917827.7999999949</v>
      </c>
      <c r="F15" s="38">
        <f t="shared" ref="F15:F20" si="0">E15-D15</f>
        <v>1448557.099999995</v>
      </c>
      <c r="I15" t="str">
        <f>Analysis!A33</f>
        <v>BevCo</v>
      </c>
      <c r="J15">
        <f>Analysis!B33</f>
        <v>466787.99999999994</v>
      </c>
      <c r="K15">
        <f>Analysis!C33</f>
        <v>2327606.5000000019</v>
      </c>
      <c r="L15">
        <f>Analysis!D33</f>
        <v>2794394.5000000019</v>
      </c>
    </row>
    <row r="16" spans="3:14" x14ac:dyDescent="0.25">
      <c r="C16" t="str">
        <f>Analysis!A11</f>
        <v>Diet Coke</v>
      </c>
      <c r="D16" s="38">
        <f>Analysis!B11</f>
        <v>423758.70000000007</v>
      </c>
      <c r="E16" s="38">
        <f>Analysis!C11</f>
        <v>1633959.3000000005</v>
      </c>
      <c r="F16" s="38">
        <f t="shared" si="0"/>
        <v>1210200.6000000006</v>
      </c>
      <c r="I16" t="str">
        <f>Analysis!A34</f>
        <v>FizzyCo</v>
      </c>
      <c r="J16">
        <f>Analysis!B34</f>
        <v>161210.1</v>
      </c>
      <c r="K16">
        <f>Analysis!C34</f>
        <v>2262827.0999999978</v>
      </c>
      <c r="L16">
        <f>Analysis!D34</f>
        <v>2424037.1999999979</v>
      </c>
    </row>
    <row r="17" spans="3:13" x14ac:dyDescent="0.25">
      <c r="C17" t="str">
        <f>Analysis!A12</f>
        <v>Fanta</v>
      </c>
      <c r="D17" s="38">
        <f>Analysis!B12</f>
        <v>315489.20000000013</v>
      </c>
      <c r="E17" s="38">
        <f>Analysis!C12</f>
        <v>1116062.9000000027</v>
      </c>
      <c r="F17" s="38">
        <f t="shared" si="0"/>
        <v>800573.70000000251</v>
      </c>
      <c r="I17" t="str">
        <f>Analysis!A35</f>
        <v>Target</v>
      </c>
      <c r="J17">
        <f>Analysis!B35</f>
        <v>9250.3000000000011</v>
      </c>
      <c r="K17">
        <f>Analysis!C35</f>
        <v>1341994.9999999998</v>
      </c>
      <c r="L17">
        <f>Analysis!D35</f>
        <v>1351245.2999999998</v>
      </c>
    </row>
    <row r="18" spans="3:13" x14ac:dyDescent="0.25">
      <c r="C18" t="str">
        <f>Analysis!A13</f>
        <v>Powerade</v>
      </c>
      <c r="D18" s="38">
        <f>Analysis!B13</f>
        <v>349533.89999999997</v>
      </c>
      <c r="E18" s="38">
        <f>Analysis!C13</f>
        <v>1302529.3000000012</v>
      </c>
      <c r="F18" s="38">
        <f t="shared" si="0"/>
        <v>952995.4000000013</v>
      </c>
      <c r="I18" t="str">
        <f>Analysis!A36</f>
        <v>Walmart</v>
      </c>
      <c r="J18">
        <f>Analysis!B36</f>
        <v>339912.5</v>
      </c>
      <c r="K18">
        <f>Analysis!C36</f>
        <v>580211.00000000023</v>
      </c>
      <c r="L18">
        <f>Analysis!D36</f>
        <v>920123.50000000023</v>
      </c>
    </row>
    <row r="19" spans="3:13" x14ac:dyDescent="0.25">
      <c r="C19" t="str">
        <f>Analysis!A14</f>
        <v>Sprite</v>
      </c>
      <c r="D19" s="38">
        <f>Analysis!B14</f>
        <v>366577.99999999988</v>
      </c>
      <c r="E19" s="38">
        <f>Analysis!C14</f>
        <v>1353578.2999999986</v>
      </c>
      <c r="F19" s="38">
        <f t="shared" si="0"/>
        <v>987000.29999999877</v>
      </c>
      <c r="I19" t="str">
        <f>Analysis!A37</f>
        <v>West Soda</v>
      </c>
      <c r="J19">
        <f>Analysis!B37</f>
        <v>1170361.5999999996</v>
      </c>
      <c r="K19">
        <f>Analysis!C37</f>
        <v>2070594.1999999993</v>
      </c>
      <c r="L19">
        <f>Analysis!D37</f>
        <v>3240955.7999999989</v>
      </c>
    </row>
    <row r="20" spans="3:13" ht="12.75" customHeight="1" x14ac:dyDescent="0.25">
      <c r="C20" s="42" t="s">
        <v>162</v>
      </c>
      <c r="D20" s="43">
        <f>Analysis!B15</f>
        <v>2423732.5</v>
      </c>
      <c r="E20" s="43">
        <f>Analysis!C15</f>
        <v>9592932.5000000019</v>
      </c>
      <c r="F20" s="43">
        <f t="shared" si="0"/>
        <v>7169200.0000000019</v>
      </c>
      <c r="I20" s="33" t="s">
        <v>162</v>
      </c>
      <c r="J20" s="44">
        <f>Analysis!B38</f>
        <v>2423732.4999999995</v>
      </c>
      <c r="K20" s="44">
        <f>Analysis!C38</f>
        <v>9592932.5</v>
      </c>
      <c r="L20" s="44">
        <f>Analysis!D38</f>
        <v>12016665</v>
      </c>
    </row>
    <row r="21" spans="3:13" ht="3.75" customHeight="1" x14ac:dyDescent="0.25"/>
    <row r="22" spans="3:13" ht="12.75" hidden="1" customHeight="1" x14ac:dyDescent="0.25"/>
    <row r="23" spans="3:13" ht="1.5" customHeight="1" x14ac:dyDescent="0.25"/>
    <row r="24" spans="3:13" ht="3" customHeight="1" x14ac:dyDescent="0.25"/>
    <row r="25" spans="3:13" ht="12.75" customHeight="1" x14ac:dyDescent="0.25">
      <c r="C25" s="46" t="s">
        <v>145</v>
      </c>
      <c r="D25" s="46"/>
      <c r="E25" s="46"/>
      <c r="F25" s="46"/>
      <c r="G25" s="46"/>
      <c r="H25" s="46"/>
      <c r="I25" s="46"/>
      <c r="J25" s="46"/>
      <c r="K25" s="46"/>
      <c r="L25" s="46"/>
      <c r="M25" s="46"/>
    </row>
  </sheetData>
  <mergeCells count="3">
    <mergeCell ref="I12:M12"/>
    <mergeCell ref="C12:G12"/>
    <mergeCell ref="C25:M25"/>
  </mergeCells>
  <conditionalFormatting sqref="F14:F19">
    <cfRule type="dataBar" priority="3">
      <dataBar>
        <cfvo type="min"/>
        <cfvo type="max"/>
        <color rgb="FF63C384"/>
      </dataBar>
      <extLst>
        <ext xmlns:x14="http://schemas.microsoft.com/office/spreadsheetml/2009/9/main" uri="{B025F937-C7B1-47D3-B67F-A62EFF666E3E}">
          <x14:id>{382FA525-525D-47EE-8810-86609317F774}</x14:id>
        </ext>
      </extLst>
    </cfRule>
  </conditionalFormatting>
  <conditionalFormatting sqref="L14:L19">
    <cfRule type="dataBar" priority="1">
      <dataBar>
        <cfvo type="min"/>
        <cfvo type="max"/>
        <color rgb="FF63C384"/>
      </dataBar>
      <extLst>
        <ext xmlns:x14="http://schemas.microsoft.com/office/spreadsheetml/2009/9/main" uri="{B025F937-C7B1-47D3-B67F-A62EFF666E3E}">
          <x14:id>{518063B4-9167-4689-8071-FE1CB92F170D}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82FA525-525D-47EE-8810-86609317F774}">
            <x14:dataBar minLength="0" maxLength="100" border="1" negativeBarBorderColorSameAsPositive="0">
              <x14:cfvo type="autoMin"/>
              <x14:cfvo type="autoMax"/>
              <x14:borderColor rgb="FF63C384"/>
              <x14:negativeFillColor rgb="FFFF0000"/>
              <x14:negativeBorderColor rgb="FFFF0000"/>
              <x14:axisColor rgb="FF000000"/>
            </x14:dataBar>
          </x14:cfRule>
          <xm:sqref>F14:F19</xm:sqref>
        </x14:conditionalFormatting>
        <x14:conditionalFormatting xmlns:xm="http://schemas.microsoft.com/office/excel/2006/main">
          <x14:cfRule type="dataBar" id="{518063B4-9167-4689-8071-FE1CB92F170D}">
            <x14:dataBar minLength="0" maxLength="100" border="1" negativeBarBorderColorSameAsPositive="0">
              <x14:cfvo type="autoMin"/>
              <x14:cfvo type="autoMax"/>
              <x14:borderColor rgb="FF63C384"/>
              <x14:negativeFillColor rgb="FFFF0000"/>
              <x14:negativeBorderColor rgb="FFFF0000"/>
              <x14:axisColor rgb="FF000000"/>
            </x14:dataBar>
          </x14:cfRule>
          <xm:sqref>L14:L19</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Analysis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benjamin popoola</cp:lastModifiedBy>
  <dcterms:created xsi:type="dcterms:W3CDTF">2023-12-18T11:08:00Z</dcterms:created>
  <dcterms:modified xsi:type="dcterms:W3CDTF">2025-12-14T18:14:24Z</dcterms:modified>
</cp:coreProperties>
</file>